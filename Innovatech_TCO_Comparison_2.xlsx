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art\Desktop\case-study-1-Innovatech\"/>
    </mc:Choice>
  </mc:AlternateContent>
  <xr:revisionPtr revIDLastSave="0" documentId="13_ncr:1_{63CA9E31-D767-4CFF-9EF7-A8BA5D9D22E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Assumptions" sheetId="1" r:id="rId1"/>
    <sheet name="Cloud (AWS) Cos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2" l="1"/>
  <c r="C26" i="2" s="1"/>
  <c r="C27" i="2" s="1"/>
  <c r="C28" i="2" s="1"/>
  <c r="C29" i="2" s="1"/>
  <c r="C30" i="2" s="1"/>
  <c r="C18" i="2"/>
  <c r="C17" i="2"/>
  <c r="C16" i="2"/>
  <c r="C15" i="2"/>
  <c r="C14" i="2"/>
  <c r="C13" i="2"/>
  <c r="C12" i="2"/>
  <c r="C11" i="2"/>
  <c r="C19" i="2" s="1"/>
  <c r="C10" i="2"/>
  <c r="C9" i="2"/>
  <c r="C8" i="2"/>
  <c r="C7" i="2"/>
  <c r="C6" i="2"/>
  <c r="C5" i="2"/>
  <c r="B26" i="2" l="1"/>
  <c r="C23" i="2"/>
  <c r="B27" i="2" l="1"/>
  <c r="D26" i="2"/>
  <c r="D27" i="2" l="1"/>
  <c r="B28" i="2"/>
  <c r="D28" i="2" l="1"/>
  <c r="B29" i="2"/>
  <c r="D31" i="2"/>
  <c r="B30" i="2" l="1"/>
  <c r="D30" i="2" s="1"/>
  <c r="D29" i="2"/>
  <c r="D32" i="2" l="1"/>
</calcChain>
</file>

<file path=xl/sharedStrings.xml><?xml version="1.0" encoding="utf-8"?>
<sst xmlns="http://schemas.openxmlformats.org/spreadsheetml/2006/main" count="116" uniqueCount="95">
  <si>
    <t>EC2 t3.small on-demand, $/hr</t>
  </si>
  <si>
    <t>EC2 t3.medium on-demand, $/hr</t>
  </si>
  <si>
    <t>Hours per month</t>
  </si>
  <si>
    <t>Standard AWS billing convention</t>
  </si>
  <si>
    <t>Web tier: baseline instance count (ASG min)</t>
  </si>
  <si>
    <t>Web tier: avg instance-months factor (peak scaling overhead)</t>
  </si>
  <si>
    <t>Assumption: ASG averages 25% above baseline across peak/off-peak cycle</t>
  </si>
  <si>
    <t>Web tier instance type</t>
  </si>
  <si>
    <t>t3.small</t>
  </si>
  <si>
    <t>Data tier: instance count</t>
  </si>
  <si>
    <t>Data tier instance type</t>
  </si>
  <si>
    <t>t3.medium</t>
  </si>
  <si>
    <t>Higher RAM/CPU for DB workload</t>
  </si>
  <si>
    <t>Management tier: instance count (monitoring + CI runner)</t>
  </si>
  <si>
    <t>Prometheus/Grafana + self-hosted GitHub Actions runner</t>
  </si>
  <si>
    <t>Management tier instance type</t>
  </si>
  <si>
    <t>EBS gp3, $/GB-month</t>
  </si>
  <si>
    <t>EBS per web instance, GB</t>
  </si>
  <si>
    <t>Assumption</t>
  </si>
  <si>
    <t>EBS per data instance, GB</t>
  </si>
  <si>
    <t>EBS per management instance, GB</t>
  </si>
  <si>
    <t>NAT Gateway, $/hr</t>
  </si>
  <si>
    <t>NAT Gateway data processing, $/GB</t>
  </si>
  <si>
    <t>Estimated NAT-processed data, GB/month</t>
  </si>
  <si>
    <t>Assumption — low/moderate traffic coursework environment</t>
  </si>
  <si>
    <t>ALB, $/hr</t>
  </si>
  <si>
    <t>ALB, $/LCU-hr</t>
  </si>
  <si>
    <t>Estimated average LCUs consumed</t>
  </si>
  <si>
    <t>Transit Gateway, $/attachment-hr</t>
  </si>
  <si>
    <t>Transit Gateway data processing, $/GB</t>
  </si>
  <si>
    <t>Estimated TGW-processed data, GB/month</t>
  </si>
  <si>
    <t>Site-to-Site VPN connection, $/hr</t>
  </si>
  <si>
    <t>Data transfer out to internet, $/GB (first 10TB tier)</t>
  </si>
  <si>
    <t>Estimated misc. data transfer out, GB/month</t>
  </si>
  <si>
    <t>Annual usage growth rate (cloud infra spend)</t>
  </si>
  <si>
    <t>Assumption — ticket-sales traffic growth</t>
  </si>
  <si>
    <t>Annual inflation rate (hosting/labor costs)</t>
  </si>
  <si>
    <t>Assumption — general cost inflation</t>
  </si>
  <si>
    <t>Blended IT labor rate, $/hr</t>
  </si>
  <si>
    <t>Assumption — adjust to local/regional rate</t>
  </si>
  <si>
    <t>Cloud environment: maintenance hours/week</t>
  </si>
  <si>
    <t>Assumption — managed services reduce hands-on ops</t>
  </si>
  <si>
    <t>On-prem environment: maintenance hours/week</t>
  </si>
  <si>
    <t>Assumption — physical hardware adds ops burden</t>
  </si>
  <si>
    <t>Weeks per month</t>
  </si>
  <si>
    <t>Cloud (AWS) — Monthly Cost Build-Up</t>
  </si>
  <si>
    <t>Year-1 baseline monthly cost; Years 2-5 apply the usage growth rate for infra and the inflation rate for labor.</t>
  </si>
  <si>
    <t>Cost Component</t>
  </si>
  <si>
    <t>Formula Basis</t>
  </si>
  <si>
    <t>Year-1 Monthly ($)</t>
  </si>
  <si>
    <t>Web tier EC2 (t3.small x baseline x peak factor)</t>
  </si>
  <si>
    <t>see Assumptions</t>
  </si>
  <si>
    <t>Data tier EC2 (t3.medium x count)</t>
  </si>
  <si>
    <t>Management tier EC2 (t3.small x count)</t>
  </si>
  <si>
    <t>EBS storage — web</t>
  </si>
  <si>
    <t>EBS storage — data</t>
  </si>
  <si>
    <t>EBS storage — management</t>
  </si>
  <si>
    <t>NAT Gateway — hourly</t>
  </si>
  <si>
    <t>NAT Gateway — data processing</t>
  </si>
  <si>
    <t>Application Load Balancer — hourly</t>
  </si>
  <si>
    <t>Application Load Balancer — LCU</t>
  </si>
  <si>
    <t>Transit Gateway — attachment hours</t>
  </si>
  <si>
    <t>Transit Gateway — data processing</t>
  </si>
  <si>
    <t>Site-to-Site VPN connection</t>
  </si>
  <si>
    <t>Data transfer out (misc.)</t>
  </si>
  <si>
    <t>Infrastructure subtotal, $/month</t>
  </si>
  <si>
    <t>Cloud ops/maintenance labor, $/month</t>
  </si>
  <si>
    <t>AWS support plan (Basic, included)</t>
  </si>
  <si>
    <t>TOTAL Year-1 monthly cost</t>
  </si>
  <si>
    <t>Year</t>
  </si>
  <si>
    <t>Infra ($/yr, grows w/ usage)</t>
  </si>
  <si>
    <t>Labor ($/yr, grows w/ inflation)</t>
  </si>
  <si>
    <t>Total ($/yr)</t>
  </si>
  <si>
    <t>Year 1</t>
  </si>
  <si>
    <t>Year 2</t>
  </si>
  <si>
    <t>Year 3</t>
  </si>
  <si>
    <t>Year 4</t>
  </si>
  <si>
    <t>Year 5</t>
  </si>
  <si>
    <t>3-Year Total</t>
  </si>
  <si>
    <t>5-Year Total</t>
  </si>
  <si>
    <t xml:space="preserve">Innovatech Solutions · Phase 1 · AWS eu-central-1 (Frankfurt) </t>
  </si>
  <si>
    <t>TCO Comparison Key Assumptions</t>
  </si>
  <si>
    <t>Design decision - REQ-NCA-P1-04</t>
  </si>
  <si>
    <t>Design decision - self-managed MySQL</t>
  </si>
  <si>
    <t>https://www.doit.com/compute/compute/aws/eu-central-1/t3.small</t>
  </si>
  <si>
    <t>https://aws-pricing.com/regions.html</t>
  </si>
  <si>
    <t>https://aws.amazon.com/ebs/pricing/</t>
  </si>
  <si>
    <t>https://costgoat.com/pricing/aws-nat-gateway</t>
  </si>
  <si>
    <t>https://cloudchipr.com/blog/aws-load-balancer-pricing</t>
  </si>
  <si>
    <t>https://cloudburn.io/tools/aws-elastic-load-balancing-pricing-calculator</t>
  </si>
  <si>
    <t>Transit Gateway attachments (2 VPCs + 1 VPN)</t>
  </si>
  <si>
    <t>https://aws.amazon.com/fr/transit-gateway/pricing/</t>
  </si>
  <si>
    <t>https://aws.amazon.com/blogs/networking-and-content-delivery/introducing-aws-client-vpn-native-aws-transit-gateway-attachment/</t>
  </si>
  <si>
    <t>https://egresscost.com/aws/cross-region-data-transfer</t>
  </si>
  <si>
    <t>https://aws.amazon.com/vpn/pricing/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</si>
</sst>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12" x14ac:knownFonts="1">
    <font>
      <sz val="11"/>
      <color theme="1"/>
      <name val="Calibri"/>
      <family val="2"/>
      <charset val="1"/>
    </font>
    <font>
      <b/>
      <sz val="14"/>
      <color rgb="FF1F3A52"/>
      <name val="Arial"/>
      <charset val="1"/>
    </font>
    <font>
      <i/>
      <sz val="10"/>
      <color rgb="FF5B647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i/>
      <sz val="10"/>
      <name val="Arial"/>
      <family val="2"/>
    </font>
    <font>
      <b/>
      <sz val="14"/>
      <color rgb="FF1F3A52"/>
      <name val="Arial"/>
      <family val="2"/>
    </font>
    <font>
      <i/>
      <sz val="10"/>
      <color rgb="FF5B6470"/>
      <name val="Arial"/>
      <family val="2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2"/>
        <bgColor rgb="FF003366"/>
      </patternFill>
    </fill>
    <fill>
      <patternFill patternType="solid">
        <fgColor rgb="FFEEF3F6"/>
        <bgColor rgb="FFFFFFFF"/>
      </patternFill>
    </fill>
    <fill>
      <patternFill patternType="solid">
        <fgColor rgb="FFD9E4EA"/>
        <bgColor rgb="FFD9D9D9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9B6AC"/>
      </left>
      <right style="thin">
        <color rgb="FFB9B6AC"/>
      </right>
      <top style="thin">
        <color rgb="FFB9B6AC"/>
      </top>
      <bottom style="thin">
        <color rgb="FFB9B6A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5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64" fontId="4" fillId="2" borderId="0" xfId="0" applyNumberFormat="1" applyFont="1" applyFill="1"/>
    <xf numFmtId="0" fontId="6" fillId="3" borderId="1" xfId="0" applyFont="1" applyFill="1" applyBorder="1" applyAlignment="1">
      <alignment horizontal="center" vertical="center" wrapText="1"/>
    </xf>
    <xf numFmtId="165" fontId="7" fillId="0" borderId="0" xfId="0" applyNumberFormat="1" applyFont="1"/>
    <xf numFmtId="0" fontId="3" fillId="4" borderId="0" xfId="0" applyFont="1" applyFill="1"/>
    <xf numFmtId="0" fontId="2" fillId="4" borderId="0" xfId="0" applyFont="1" applyFill="1"/>
    <xf numFmtId="165" fontId="7" fillId="4" borderId="0" xfId="0" applyNumberFormat="1" applyFont="1" applyFill="1"/>
    <xf numFmtId="0" fontId="5" fillId="5" borderId="1" xfId="0" applyFont="1" applyFill="1" applyBorder="1"/>
    <xf numFmtId="0" fontId="0" fillId="5" borderId="1" xfId="0" applyFill="1" applyBorder="1"/>
    <xf numFmtId="165" fontId="5" fillId="5" borderId="1" xfId="0" applyNumberFormat="1" applyFont="1" applyFill="1" applyBorder="1"/>
    <xf numFmtId="165" fontId="3" fillId="0" borderId="0" xfId="0" applyNumberFormat="1" applyFont="1"/>
    <xf numFmtId="165" fontId="3" fillId="4" borderId="0" xfId="0" applyNumberFormat="1" applyFont="1" applyFill="1"/>
    <xf numFmtId="0" fontId="5" fillId="5" borderId="0" xfId="0" applyFont="1" applyFill="1"/>
    <xf numFmtId="0" fontId="0" fillId="5" borderId="0" xfId="0" applyFill="1"/>
    <xf numFmtId="165" fontId="5" fillId="5" borderId="0" xfId="0" applyNumberFormat="1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1"/>
    <xf numFmtId="0" fontId="4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6AC"/>
      <rgbColor rgb="FF878787"/>
      <rgbColor rgb="FF9999FF"/>
      <rgbColor rgb="FFC0504D"/>
      <rgbColor rgb="FFEEF3F6"/>
      <rgbColor rgb="FFD9E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B64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chipr.com/blog/aws-load-balancer-pricing" TargetMode="External"/><Relationship Id="rId13" Type="http://schemas.openxmlformats.org/officeDocument/2006/relationships/hyperlink" Target="https://aws.amazon.com/vpn/pricing/" TargetMode="External"/><Relationship Id="rId3" Type="http://schemas.openxmlformats.org/officeDocument/2006/relationships/hyperlink" Target="https://aws.amazon.com/ebs/pricing/" TargetMode="External"/><Relationship Id="rId7" Type="http://schemas.openxmlformats.org/officeDocument/2006/relationships/hyperlink" Target="https://costgoat.com/pricing/aws-nat-gateway" TargetMode="External"/><Relationship Id="rId12" Type="http://schemas.openxmlformats.org/officeDocument/2006/relationships/hyperlink" Target="https://egresscost.com/aws/cross-region-data-transfer" TargetMode="External"/><Relationship Id="rId2" Type="http://schemas.openxmlformats.org/officeDocument/2006/relationships/hyperlink" Target="https://aws-pricing.com/regions.html" TargetMode="External"/><Relationship Id="rId1" Type="http://schemas.openxmlformats.org/officeDocument/2006/relationships/hyperlink" Target="https://www.doit.com/compute/compute/aws/eu-central-1/t3.small" TargetMode="External"/><Relationship Id="rId6" Type="http://schemas.openxmlformats.org/officeDocument/2006/relationships/hyperlink" Target="https://costgoat.com/pricing/aws-nat-gateway" TargetMode="External"/><Relationship Id="rId11" Type="http://schemas.openxmlformats.org/officeDocument/2006/relationships/hyperlink" Target="https://aws.amazon.com/blogs/networking-and-content-delivery/introducing-aws-client-vpn-native-aws-transit-gateway-attachment/" TargetMode="External"/><Relationship Id="rId5" Type="http://schemas.openxmlformats.org/officeDocument/2006/relationships/hyperlink" Target="https://aws.amazon.com/ebs/pricing/" TargetMode="External"/><Relationship Id="rId15" Type="http://schemas.openxmlformats.org/officeDocument/2006/relationships/hyperlink" Target="https://aws.amazon.com/ebs/pricing/" TargetMode="External"/><Relationship Id="rId10" Type="http://schemas.openxmlformats.org/officeDocument/2006/relationships/hyperlink" Target="https://aws.amazon.com/fr/transit-gateway/pricing/" TargetMode="External"/><Relationship Id="rId4" Type="http://schemas.openxmlformats.org/officeDocument/2006/relationships/hyperlink" Target="https://aws.amazon.com/ebs/pricing/" TargetMode="External"/><Relationship Id="rId9" Type="http://schemas.openxmlformats.org/officeDocument/2006/relationships/hyperlink" Target="https://cloudburn.io/tools/aws-elastic-load-balancing-pricing-calculator" TargetMode="External"/><Relationship Id="rId14" Type="http://schemas.openxmlformats.org/officeDocument/2006/relationships/hyperlink" Target="https://aws.amazon.com/vpn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showGridLines="0" tabSelected="1" topLeftCell="A6" zoomScaleNormal="100" workbookViewId="0">
      <selection activeCell="C22" sqref="C22"/>
    </sheetView>
  </sheetViews>
  <sheetFormatPr defaultColWidth="8.6640625" defaultRowHeight="14.4" x14ac:dyDescent="0.3"/>
  <cols>
    <col min="1" max="1" width="58" customWidth="1"/>
    <col min="2" max="2" width="14" customWidth="1"/>
    <col min="3" max="3" width="62" customWidth="1"/>
  </cols>
  <sheetData>
    <row r="1" spans="1:3" ht="17.25" customHeight="1" x14ac:dyDescent="0.3">
      <c r="A1" s="21" t="s">
        <v>81</v>
      </c>
    </row>
    <row r="2" spans="1:3" ht="15" customHeight="1" x14ac:dyDescent="0.3">
      <c r="A2" s="20" t="s">
        <v>80</v>
      </c>
    </row>
    <row r="6" spans="1:3" ht="15" customHeight="1" x14ac:dyDescent="0.3">
      <c r="A6" s="4" t="s">
        <v>0</v>
      </c>
      <c r="B6" s="5">
        <v>2.4E-2</v>
      </c>
      <c r="C6" s="23" t="s">
        <v>84</v>
      </c>
    </row>
    <row r="7" spans="1:3" ht="15" customHeight="1" x14ac:dyDescent="0.3">
      <c r="A7" s="4" t="s">
        <v>1</v>
      </c>
      <c r="B7" s="5">
        <v>4.8000000000000001E-2</v>
      </c>
      <c r="C7" s="23" t="s">
        <v>85</v>
      </c>
    </row>
    <row r="8" spans="1:3" ht="15" customHeight="1" x14ac:dyDescent="0.3">
      <c r="A8" s="4" t="s">
        <v>2</v>
      </c>
      <c r="B8" s="5">
        <v>730</v>
      </c>
      <c r="C8" s="3" t="s">
        <v>3</v>
      </c>
    </row>
    <row r="9" spans="1:3" ht="15" customHeight="1" x14ac:dyDescent="0.3">
      <c r="A9" s="4" t="s">
        <v>4</v>
      </c>
      <c r="B9" s="5">
        <v>2</v>
      </c>
      <c r="C9" s="22" t="s">
        <v>82</v>
      </c>
    </row>
    <row r="10" spans="1:3" ht="15" customHeight="1" x14ac:dyDescent="0.3">
      <c r="A10" s="4" t="s">
        <v>5</v>
      </c>
      <c r="B10" s="5">
        <v>1.25</v>
      </c>
      <c r="C10" s="3" t="s">
        <v>6</v>
      </c>
    </row>
    <row r="11" spans="1:3" ht="15" customHeight="1" x14ac:dyDescent="0.3">
      <c r="A11" s="1" t="s">
        <v>7</v>
      </c>
      <c r="B11" t="s">
        <v>8</v>
      </c>
    </row>
    <row r="12" spans="1:3" ht="15" customHeight="1" x14ac:dyDescent="0.3">
      <c r="A12" s="4" t="s">
        <v>9</v>
      </c>
      <c r="B12" s="5">
        <v>1</v>
      </c>
      <c r="C12" s="22" t="s">
        <v>83</v>
      </c>
    </row>
    <row r="13" spans="1:3" ht="15" customHeight="1" x14ac:dyDescent="0.3">
      <c r="A13" s="4" t="s">
        <v>10</v>
      </c>
      <c r="B13" s="5" t="s">
        <v>11</v>
      </c>
      <c r="C13" s="3" t="s">
        <v>12</v>
      </c>
    </row>
    <row r="14" spans="1:3" ht="15" customHeight="1" x14ac:dyDescent="0.3">
      <c r="A14" s="4" t="s">
        <v>13</v>
      </c>
      <c r="B14" s="5">
        <v>2</v>
      </c>
      <c r="C14" s="3" t="s">
        <v>14</v>
      </c>
    </row>
    <row r="15" spans="1:3" ht="15" customHeight="1" x14ac:dyDescent="0.3">
      <c r="A15" s="1" t="s">
        <v>15</v>
      </c>
      <c r="B15" t="s">
        <v>8</v>
      </c>
    </row>
    <row r="18" spans="1:3" ht="15" customHeight="1" x14ac:dyDescent="0.3">
      <c r="A18" s="4" t="s">
        <v>16</v>
      </c>
      <c r="B18" s="5">
        <v>9.2299999999999993E-2</v>
      </c>
      <c r="C18" s="23" t="s">
        <v>86</v>
      </c>
    </row>
    <row r="19" spans="1:3" ht="15" customHeight="1" x14ac:dyDescent="0.3">
      <c r="A19" s="4" t="s">
        <v>17</v>
      </c>
      <c r="B19" s="5">
        <v>20</v>
      </c>
      <c r="C19" s="23" t="s">
        <v>86</v>
      </c>
    </row>
    <row r="20" spans="1:3" ht="15" customHeight="1" x14ac:dyDescent="0.3">
      <c r="A20" s="4" t="s">
        <v>19</v>
      </c>
      <c r="B20" s="5">
        <v>100</v>
      </c>
      <c r="C20" s="23" t="s">
        <v>86</v>
      </c>
    </row>
    <row r="21" spans="1:3" ht="15" customHeight="1" x14ac:dyDescent="0.3">
      <c r="A21" s="4" t="s">
        <v>20</v>
      </c>
      <c r="B21" s="5">
        <v>20</v>
      </c>
      <c r="C21" s="23" t="s">
        <v>86</v>
      </c>
    </row>
    <row r="24" spans="1:3" ht="15" customHeight="1" x14ac:dyDescent="0.3">
      <c r="A24" s="4" t="s">
        <v>21</v>
      </c>
      <c r="B24" s="5">
        <v>5.1999999999999998E-2</v>
      </c>
      <c r="C24" s="23" t="s">
        <v>87</v>
      </c>
    </row>
    <row r="25" spans="1:3" ht="15" customHeight="1" x14ac:dyDescent="0.3">
      <c r="A25" s="4" t="s">
        <v>22</v>
      </c>
      <c r="B25" s="5">
        <v>5.1999999999999998E-2</v>
      </c>
      <c r="C25" s="23" t="s">
        <v>87</v>
      </c>
    </row>
    <row r="26" spans="1:3" ht="15" customHeight="1" x14ac:dyDescent="0.3">
      <c r="A26" s="4" t="s">
        <v>23</v>
      </c>
      <c r="B26" s="5">
        <v>50</v>
      </c>
      <c r="C26" s="3" t="s">
        <v>24</v>
      </c>
    </row>
    <row r="27" spans="1:3" ht="15" customHeight="1" x14ac:dyDescent="0.3">
      <c r="A27" s="4" t="s">
        <v>25</v>
      </c>
      <c r="B27" s="5">
        <v>2.5999999999999999E-2</v>
      </c>
      <c r="C27" s="23" t="s">
        <v>88</v>
      </c>
    </row>
    <row r="28" spans="1:3" ht="15" customHeight="1" x14ac:dyDescent="0.3">
      <c r="A28" s="4" t="s">
        <v>26</v>
      </c>
      <c r="B28" s="5">
        <v>9.1999999999999998E-3</v>
      </c>
      <c r="C28" s="23" t="s">
        <v>89</v>
      </c>
    </row>
    <row r="29" spans="1:3" ht="15" customHeight="1" x14ac:dyDescent="0.3">
      <c r="A29" s="4" t="s">
        <v>27</v>
      </c>
      <c r="B29" s="5">
        <v>2</v>
      </c>
      <c r="C29" s="3" t="s">
        <v>18</v>
      </c>
    </row>
    <row r="30" spans="1:3" ht="15" customHeight="1" x14ac:dyDescent="0.3">
      <c r="A30" s="4" t="s">
        <v>28</v>
      </c>
      <c r="B30" s="5">
        <v>5.7700000000000001E-2</v>
      </c>
      <c r="C30" s="23" t="s">
        <v>91</v>
      </c>
    </row>
    <row r="31" spans="1:3" ht="15" customHeight="1" x14ac:dyDescent="0.3">
      <c r="A31" s="4" t="s">
        <v>90</v>
      </c>
      <c r="B31" s="5">
        <v>5</v>
      </c>
      <c r="C31" s="23" t="s">
        <v>92</v>
      </c>
    </row>
    <row r="32" spans="1:3" ht="15" customHeight="1" x14ac:dyDescent="0.3">
      <c r="A32" s="4" t="s">
        <v>29</v>
      </c>
      <c r="B32" s="5">
        <v>2.3099999999999999E-2</v>
      </c>
      <c r="C32" s="23" t="s">
        <v>93</v>
      </c>
    </row>
    <row r="33" spans="1:3" ht="15" customHeight="1" x14ac:dyDescent="0.3">
      <c r="A33" s="4" t="s">
        <v>30</v>
      </c>
      <c r="B33" s="5">
        <v>100</v>
      </c>
      <c r="C33" s="3" t="s">
        <v>18</v>
      </c>
    </row>
    <row r="34" spans="1:3" ht="15" customHeight="1" x14ac:dyDescent="0.3">
      <c r="A34" s="4" t="s">
        <v>31</v>
      </c>
      <c r="B34" s="5">
        <v>0.05</v>
      </c>
      <c r="C34" s="23" t="s">
        <v>94</v>
      </c>
    </row>
    <row r="35" spans="1:3" ht="15" customHeight="1" x14ac:dyDescent="0.3">
      <c r="A35" s="4" t="s">
        <v>32</v>
      </c>
      <c r="B35" s="5">
        <v>0.09</v>
      </c>
      <c r="C35" s="23" t="s">
        <v>94</v>
      </c>
    </row>
    <row r="36" spans="1:3" ht="15" customHeight="1" x14ac:dyDescent="0.3">
      <c r="A36" s="4" t="s">
        <v>33</v>
      </c>
      <c r="B36" s="5">
        <v>30</v>
      </c>
      <c r="C36" s="3" t="s">
        <v>18</v>
      </c>
    </row>
    <row r="39" spans="1:3" ht="15" customHeight="1" x14ac:dyDescent="0.3">
      <c r="A39" s="4" t="s">
        <v>34</v>
      </c>
      <c r="B39" s="6">
        <v>0.08</v>
      </c>
      <c r="C39" s="3" t="s">
        <v>35</v>
      </c>
    </row>
    <row r="40" spans="1:3" ht="15" customHeight="1" x14ac:dyDescent="0.3">
      <c r="A40" s="4" t="s">
        <v>36</v>
      </c>
      <c r="B40" s="6">
        <v>0.03</v>
      </c>
      <c r="C40" s="3" t="s">
        <v>37</v>
      </c>
    </row>
    <row r="41" spans="1:3" ht="15" customHeight="1" x14ac:dyDescent="0.3">
      <c r="A41" s="4" t="s">
        <v>38</v>
      </c>
      <c r="B41" s="5">
        <v>50</v>
      </c>
      <c r="C41" s="3" t="s">
        <v>39</v>
      </c>
    </row>
    <row r="42" spans="1:3" ht="15" customHeight="1" x14ac:dyDescent="0.3">
      <c r="A42" s="4" t="s">
        <v>40</v>
      </c>
      <c r="B42" s="5">
        <v>4</v>
      </c>
      <c r="C42" s="3" t="s">
        <v>41</v>
      </c>
    </row>
    <row r="43" spans="1:3" ht="15" customHeight="1" x14ac:dyDescent="0.3">
      <c r="A43" s="4" t="s">
        <v>42</v>
      </c>
      <c r="B43" s="5">
        <v>8</v>
      </c>
      <c r="C43" s="3" t="s">
        <v>43</v>
      </c>
    </row>
    <row r="44" spans="1:3" ht="15" customHeight="1" x14ac:dyDescent="0.3">
      <c r="A44" s="4" t="s">
        <v>44</v>
      </c>
      <c r="B44" s="5">
        <v>4.33</v>
      </c>
      <c r="C44" s="3"/>
    </row>
    <row r="47" spans="1:3" ht="15" customHeight="1" x14ac:dyDescent="0.3">
      <c r="A47" s="4"/>
      <c r="B47" s="24"/>
      <c r="C47" s="3"/>
    </row>
    <row r="48" spans="1:3" ht="15" customHeight="1" x14ac:dyDescent="0.3">
      <c r="A48" s="4"/>
      <c r="B48" s="24"/>
      <c r="C48" s="3"/>
    </row>
    <row r="49" spans="1:3" ht="15" customHeight="1" x14ac:dyDescent="0.3">
      <c r="A49" s="4"/>
      <c r="B49" s="24"/>
      <c r="C49" s="3"/>
    </row>
    <row r="50" spans="1:3" ht="15" customHeight="1" x14ac:dyDescent="0.3">
      <c r="A50" s="4"/>
      <c r="B50" s="24"/>
      <c r="C50" s="3"/>
    </row>
    <row r="53" spans="1:3" ht="15" customHeight="1" x14ac:dyDescent="0.3">
      <c r="A53" s="4"/>
      <c r="C53" s="3"/>
    </row>
    <row r="54" spans="1:3" ht="15" customHeight="1" x14ac:dyDescent="0.3">
      <c r="A54" s="4"/>
      <c r="B54" s="24"/>
      <c r="C54" s="3"/>
    </row>
  </sheetData>
  <hyperlinks>
    <hyperlink ref="C6" r:id="rId1" xr:uid="{92396F28-8E28-422B-B287-4DA74DD4DF59}"/>
    <hyperlink ref="C7" r:id="rId2" xr:uid="{CD353E3F-4BC7-453D-A2D1-4B1084CFB8E5}"/>
    <hyperlink ref="C19" r:id="rId3" xr:uid="{BB408076-5FEF-4F42-B37C-7098016400B0}"/>
    <hyperlink ref="C20" r:id="rId4" xr:uid="{50F22C4C-F9AC-4EE3-8D64-75F3B006A77F}"/>
    <hyperlink ref="C21" r:id="rId5" xr:uid="{243B6683-6C0C-4ADA-A2B2-4B2F4058EF32}"/>
    <hyperlink ref="C24" r:id="rId6" xr:uid="{9A45F14C-B6A2-4398-8970-37CA91B3ECDD}"/>
    <hyperlink ref="C25" r:id="rId7" xr:uid="{58053069-6780-4D85-A79F-CAB439F1E4F3}"/>
    <hyperlink ref="C27" r:id="rId8" xr:uid="{A71291F9-1471-4C8E-B340-0207C4C78A35}"/>
    <hyperlink ref="C28" r:id="rId9" xr:uid="{1C690829-4563-4293-B0D9-EA1785F5C8F2}"/>
    <hyperlink ref="C30" r:id="rId10" xr:uid="{BA1AB707-8770-49DE-86DB-4696F6C7F694}"/>
    <hyperlink ref="C31" r:id="rId11" xr:uid="{9F9F0BFC-217E-48CA-A033-725BB86F891F}"/>
    <hyperlink ref="C32" r:id="rId12" xr:uid="{1E92C2DA-C953-4AA3-B979-351E54D50C57}"/>
    <hyperlink ref="C34" r:id="rId13" xr:uid="{763198B2-206A-40BE-9D82-023DFC94A799}"/>
    <hyperlink ref="C35" r:id="rId14" xr:uid="{56863F20-7FC3-4FA4-B194-11B2DD86C3CF}"/>
    <hyperlink ref="C18" r:id="rId15" xr:uid="{7438BA0D-63C2-43F1-A7F3-D5D533E22A5B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showGridLines="0" zoomScaleNormal="100" workbookViewId="0">
      <selection activeCell="B6" sqref="B6"/>
    </sheetView>
  </sheetViews>
  <sheetFormatPr defaultColWidth="8.6640625" defaultRowHeight="14.4" x14ac:dyDescent="0.3"/>
  <cols>
    <col min="1" max="1" width="46" customWidth="1"/>
    <col min="2" max="3" width="22" customWidth="1"/>
    <col min="4" max="4" width="18" customWidth="1"/>
  </cols>
  <sheetData>
    <row r="1" spans="1:3" ht="17.25" customHeight="1" x14ac:dyDescent="0.3">
      <c r="A1" s="2" t="s">
        <v>45</v>
      </c>
    </row>
    <row r="2" spans="1:3" ht="15" customHeight="1" x14ac:dyDescent="0.3">
      <c r="A2" s="3" t="s">
        <v>46</v>
      </c>
    </row>
    <row r="4" spans="1:3" ht="15" customHeight="1" x14ac:dyDescent="0.3">
      <c r="A4" s="7" t="s">
        <v>47</v>
      </c>
      <c r="B4" s="7" t="s">
        <v>48</v>
      </c>
      <c r="C4" s="7" t="s">
        <v>49</v>
      </c>
    </row>
    <row r="5" spans="1:3" ht="15" customHeight="1" x14ac:dyDescent="0.3">
      <c r="A5" s="4" t="s">
        <v>50</v>
      </c>
      <c r="B5" s="3" t="s">
        <v>51</v>
      </c>
      <c r="C5" s="8">
        <f>Assumptions!$B$9*Assumptions!$B$10*Assumptions!$B$6*Assumptions!$B$8</f>
        <v>43.8</v>
      </c>
    </row>
    <row r="6" spans="1:3" ht="15" customHeight="1" x14ac:dyDescent="0.3">
      <c r="A6" s="9" t="s">
        <v>52</v>
      </c>
      <c r="B6" s="10" t="s">
        <v>51</v>
      </c>
      <c r="C6" s="11">
        <f>Assumptions!$B$12*Assumptions!$B$7*Assumptions!$B$8</f>
        <v>35.04</v>
      </c>
    </row>
    <row r="7" spans="1:3" ht="15" customHeight="1" x14ac:dyDescent="0.3">
      <c r="A7" s="4" t="s">
        <v>53</v>
      </c>
      <c r="B7" s="3" t="s">
        <v>51</v>
      </c>
      <c r="C7" s="8">
        <f>Assumptions!$B$14*Assumptions!$B$6*Assumptions!$B$8</f>
        <v>35.04</v>
      </c>
    </row>
    <row r="8" spans="1:3" ht="15" customHeight="1" x14ac:dyDescent="0.3">
      <c r="A8" s="9" t="s">
        <v>54</v>
      </c>
      <c r="B8" s="10" t="s">
        <v>51</v>
      </c>
      <c r="C8" s="11">
        <f>Assumptions!$B$9*Assumptions!$B$19*Assumptions!$B$18</f>
        <v>3.6919999999999997</v>
      </c>
    </row>
    <row r="9" spans="1:3" ht="15" customHeight="1" x14ac:dyDescent="0.3">
      <c r="A9" s="4" t="s">
        <v>55</v>
      </c>
      <c r="B9" s="3" t="s">
        <v>51</v>
      </c>
      <c r="C9" s="8">
        <f>Assumptions!$B$12*Assumptions!$B$20*Assumptions!$B$18</f>
        <v>9.2299999999999986</v>
      </c>
    </row>
    <row r="10" spans="1:3" ht="15" customHeight="1" x14ac:dyDescent="0.3">
      <c r="A10" s="9" t="s">
        <v>56</v>
      </c>
      <c r="B10" s="10" t="s">
        <v>51</v>
      </c>
      <c r="C10" s="11">
        <f>Assumptions!$B$14*Assumptions!$B$21*Assumptions!$B$18</f>
        <v>3.6919999999999997</v>
      </c>
    </row>
    <row r="11" spans="1:3" ht="15" customHeight="1" x14ac:dyDescent="0.3">
      <c r="A11" s="4" t="s">
        <v>57</v>
      </c>
      <c r="B11" s="3" t="s">
        <v>51</v>
      </c>
      <c r="C11" s="8">
        <f>Assumptions!$B$24*Assumptions!$B$8</f>
        <v>37.96</v>
      </c>
    </row>
    <row r="12" spans="1:3" ht="15" customHeight="1" x14ac:dyDescent="0.3">
      <c r="A12" s="9" t="s">
        <v>58</v>
      </c>
      <c r="B12" s="10" t="s">
        <v>51</v>
      </c>
      <c r="C12" s="11">
        <f>Assumptions!$B$25*Assumptions!$B$26</f>
        <v>2.6</v>
      </c>
    </row>
    <row r="13" spans="1:3" ht="15" customHeight="1" x14ac:dyDescent="0.3">
      <c r="A13" s="4" t="s">
        <v>59</v>
      </c>
      <c r="B13" s="3" t="s">
        <v>51</v>
      </c>
      <c r="C13" s="8">
        <f>Assumptions!$B$27*Assumptions!$B$8</f>
        <v>18.98</v>
      </c>
    </row>
    <row r="14" spans="1:3" ht="15" customHeight="1" x14ac:dyDescent="0.3">
      <c r="A14" s="9" t="s">
        <v>60</v>
      </c>
      <c r="B14" s="10" t="s">
        <v>51</v>
      </c>
      <c r="C14" s="11">
        <f>Assumptions!$B$28*Assumptions!$B$29*Assumptions!$B$8</f>
        <v>13.432</v>
      </c>
    </row>
    <row r="15" spans="1:3" ht="15" customHeight="1" x14ac:dyDescent="0.3">
      <c r="A15" s="4" t="s">
        <v>61</v>
      </c>
      <c r="B15" s="3" t="s">
        <v>51</v>
      </c>
      <c r="C15" s="8">
        <f>Assumptions!$B$30*Assumptions!$B$31*Assumptions!$B$8</f>
        <v>210.60499999999999</v>
      </c>
    </row>
    <row r="16" spans="1:3" ht="15" customHeight="1" x14ac:dyDescent="0.3">
      <c r="A16" s="9" t="s">
        <v>62</v>
      </c>
      <c r="B16" s="10" t="s">
        <v>51</v>
      </c>
      <c r="C16" s="11">
        <f>Assumptions!$B$32*Assumptions!$B$33</f>
        <v>2.31</v>
      </c>
    </row>
    <row r="17" spans="1:4" ht="15" customHeight="1" x14ac:dyDescent="0.3">
      <c r="A17" s="4" t="s">
        <v>63</v>
      </c>
      <c r="B17" s="3" t="s">
        <v>51</v>
      </c>
      <c r="C17" s="8">
        <f>Assumptions!$B$34*Assumptions!$B$8</f>
        <v>36.5</v>
      </c>
    </row>
    <row r="18" spans="1:4" ht="15" customHeight="1" x14ac:dyDescent="0.3">
      <c r="A18" s="9" t="s">
        <v>64</v>
      </c>
      <c r="B18" s="10" t="s">
        <v>51</v>
      </c>
      <c r="C18" s="11">
        <f>Assumptions!$B$35*Assumptions!$B$36</f>
        <v>2.6999999999999997</v>
      </c>
    </row>
    <row r="19" spans="1:4" ht="15" customHeight="1" x14ac:dyDescent="0.3">
      <c r="A19" s="12" t="s">
        <v>65</v>
      </c>
      <c r="B19" s="13"/>
      <c r="C19" s="14">
        <f>SUM(C5:C18)</f>
        <v>455.58099999999996</v>
      </c>
    </row>
    <row r="21" spans="1:4" ht="15" customHeight="1" x14ac:dyDescent="0.3">
      <c r="A21" s="4" t="s">
        <v>66</v>
      </c>
      <c r="C21" s="8">
        <f>Assumptions!$B$42*Assumptions!$B$44*Assumptions!$B$41</f>
        <v>866</v>
      </c>
    </row>
    <row r="22" spans="1:4" ht="15" customHeight="1" x14ac:dyDescent="0.3">
      <c r="A22" s="4" t="s">
        <v>67</v>
      </c>
      <c r="C22" s="15">
        <v>0</v>
      </c>
    </row>
    <row r="23" spans="1:4" ht="15" customHeight="1" x14ac:dyDescent="0.3">
      <c r="A23" s="12" t="s">
        <v>68</v>
      </c>
      <c r="B23" s="13"/>
      <c r="C23" s="14">
        <f>C19+C21+C22</f>
        <v>1321.5809999999999</v>
      </c>
    </row>
    <row r="25" spans="1:4" ht="23.25" customHeight="1" x14ac:dyDescent="0.3">
      <c r="A25" s="7" t="s">
        <v>69</v>
      </c>
      <c r="B25" s="7" t="s">
        <v>70</v>
      </c>
      <c r="C25" s="7" t="s">
        <v>71</v>
      </c>
      <c r="D25" s="7" t="s">
        <v>72</v>
      </c>
    </row>
    <row r="26" spans="1:4" ht="15" customHeight="1" x14ac:dyDescent="0.3">
      <c r="A26" s="4" t="s">
        <v>73</v>
      </c>
      <c r="B26" s="15">
        <f>C19*12</f>
        <v>5466.9719999999998</v>
      </c>
      <c r="C26" s="15">
        <f>C21*12</f>
        <v>10392</v>
      </c>
      <c r="D26" s="15">
        <f>B26+C26</f>
        <v>15858.972</v>
      </c>
    </row>
    <row r="27" spans="1:4" ht="15" customHeight="1" x14ac:dyDescent="0.3">
      <c r="A27" s="9" t="s">
        <v>74</v>
      </c>
      <c r="B27" s="16">
        <f>B26*(1+Assumptions!$B$39)</f>
        <v>5904.3297600000005</v>
      </c>
      <c r="C27" s="16">
        <f>C26*(1+Assumptions!$B$40)</f>
        <v>10703.76</v>
      </c>
      <c r="D27" s="16">
        <f>B27+C27</f>
        <v>16608.089760000003</v>
      </c>
    </row>
    <row r="28" spans="1:4" ht="15" customHeight="1" x14ac:dyDescent="0.3">
      <c r="A28" s="4" t="s">
        <v>75</v>
      </c>
      <c r="B28" s="15">
        <f>B27*(1+Assumptions!$B$39)</f>
        <v>6376.6761408000011</v>
      </c>
      <c r="C28" s="15">
        <f>C27*(1+Assumptions!$B$40)</f>
        <v>11024.872800000001</v>
      </c>
      <c r="D28" s="15">
        <f>B28+C28</f>
        <v>17401.548940800003</v>
      </c>
    </row>
    <row r="29" spans="1:4" ht="15" customHeight="1" x14ac:dyDescent="0.3">
      <c r="A29" s="9" t="s">
        <v>76</v>
      </c>
      <c r="B29" s="16">
        <f>B28*(1+Assumptions!$B$39)</f>
        <v>6886.8102320640019</v>
      </c>
      <c r="C29" s="16">
        <f>C28*(1+Assumptions!$B$40)</f>
        <v>11355.618984000001</v>
      </c>
      <c r="D29" s="16">
        <f>B29+C29</f>
        <v>18242.429216064003</v>
      </c>
    </row>
    <row r="30" spans="1:4" ht="15" customHeight="1" x14ac:dyDescent="0.3">
      <c r="A30" s="4" t="s">
        <v>77</v>
      </c>
      <c r="B30" s="15">
        <f>B29*(1+Assumptions!$B$39)</f>
        <v>7437.7550506291227</v>
      </c>
      <c r="C30" s="15">
        <f>C29*(1+Assumptions!$B$40)</f>
        <v>11696.28755352</v>
      </c>
      <c r="D30" s="15">
        <f>B30+C30</f>
        <v>19134.042604149123</v>
      </c>
    </row>
    <row r="31" spans="1:4" ht="15" customHeight="1" x14ac:dyDescent="0.3">
      <c r="A31" s="17" t="s">
        <v>78</v>
      </c>
      <c r="B31" s="18"/>
      <c r="C31" s="18"/>
      <c r="D31" s="19">
        <f>SUM(D26:D28)</f>
        <v>49868.610700800011</v>
      </c>
    </row>
    <row r="32" spans="1:4" ht="15" customHeight="1" x14ac:dyDescent="0.3">
      <c r="A32" s="17" t="s">
        <v>79</v>
      </c>
      <c r="B32" s="18"/>
      <c r="C32" s="18"/>
      <c r="D32" s="19">
        <f>SUM(D26:D30)</f>
        <v>87245.08252101313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Cloud (AWS)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Popov,Spartak S.D.</cp:lastModifiedBy>
  <cp:revision>3</cp:revision>
  <dcterms:created xsi:type="dcterms:W3CDTF">2026-09-13T12:54:46Z</dcterms:created>
  <dcterms:modified xsi:type="dcterms:W3CDTF">2026-09-30T21:17:47Z</dcterms:modified>
  <dc:language>en-US</dc:language>
</cp:coreProperties>
</file>